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\Documents\00_Applications_DataScience\CUNY\DATA604\Final Project\"/>
    </mc:Choice>
  </mc:AlternateContent>
  <xr:revisionPtr revIDLastSave="0" documentId="13_ncr:1_{451085D5-C417-4DD7-B778-41C4A13086EE}" xr6:coauthVersionLast="47" xr6:coauthVersionMax="47" xr10:uidLastSave="{00000000-0000-0000-0000-000000000000}"/>
  <bookViews>
    <workbookView xWindow="-110" yWindow="-110" windowWidth="19420" windowHeight="10420" xr2:uid="{EED6687B-14C5-4801-A331-0F0F1F29B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E9" i="1"/>
</calcChain>
</file>

<file path=xl/sharedStrings.xml><?xml version="1.0" encoding="utf-8"?>
<sst xmlns="http://schemas.openxmlformats.org/spreadsheetml/2006/main" count="23" uniqueCount="22">
  <si>
    <t>Annual revenue (2019)</t>
  </si>
  <si>
    <t>Average basket size:</t>
  </si>
  <si>
    <t>Cart count per store:</t>
  </si>
  <si>
    <t>Statistic</t>
  </si>
  <si>
    <t>Source</t>
  </si>
  <si>
    <t>Wikipedia</t>
  </si>
  <si>
    <t>Numerator.com</t>
  </si>
  <si>
    <t>Entrance 1</t>
  </si>
  <si>
    <t>Entrance 2</t>
  </si>
  <si>
    <t>Meijer's cost per cart</t>
  </si>
  <si>
    <t>GlobalIndustrial.com</t>
  </si>
  <si>
    <t>Carts that resemble Meijer's are $180, so assuming Meijer receives a 1 - 2% discount the price per cart is around $175</t>
  </si>
  <si>
    <t>Total Meijer's stores</t>
  </si>
  <si>
    <t>as of May 30, 2021</t>
  </si>
  <si>
    <t>Parking Lot</t>
  </si>
  <si>
    <t>In use in store</t>
  </si>
  <si>
    <t>Supermarket News</t>
  </si>
  <si>
    <t>Value</t>
  </si>
  <si>
    <t>Total Saturday Shoppers per Store</t>
  </si>
  <si>
    <r>
      <rPr>
        <i/>
        <sz val="11"/>
        <color theme="1"/>
        <rFont val="Calibri"/>
        <family val="2"/>
        <scheme val="minor"/>
      </rPr>
      <t>Saturday is busiest day at 20% of all shoppers</t>
    </r>
    <r>
      <rPr>
        <sz val="11"/>
        <color theme="1"/>
        <rFont val="Calibri"/>
        <family val="2"/>
        <scheme val="minor"/>
      </rPr>
      <t xml:space="preserve">
= </t>
    </r>
    <r>
      <rPr>
        <u/>
        <sz val="11"/>
        <color theme="1"/>
        <rFont val="Calibri"/>
        <family val="2"/>
        <scheme val="minor"/>
      </rPr>
      <t xml:space="preserve">(annual revenue/avg basket size)/52 weeks
</t>
    </r>
    <r>
      <rPr>
        <sz val="11"/>
        <color theme="1"/>
        <rFont val="Calibri"/>
        <family val="2"/>
        <scheme val="minor"/>
      </rPr>
      <t xml:space="preserve">                            total Meijer stores
</t>
    </r>
  </si>
  <si>
    <t>Manually counted at Grandville, MI store at 5:00 pm EST on Monday, June 14th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</si>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</sst>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0" fillId="3" borderId="0" xfId="0" applyFill="1" applyAlignment="1">
      <alignment vertical="top"/>
    </xf>
    <xf numFmtId="164" fontId="0" fillId="3" borderId="0" xfId="0" applyNumberFormat="1" applyFill="1" applyAlignment="1">
      <alignment horizontal="right" vertical="top"/>
    </xf>
    <xf numFmtId="1" fontId="0" fillId="3" borderId="0" xfId="0" applyNumberFormat="1" applyFill="1" applyAlignment="1">
      <alignment horizontal="right" vertical="top"/>
    </xf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vertical="top"/>
    </xf>
    <xf numFmtId="164" fontId="0" fillId="3" borderId="1" xfId="0" applyNumberFormat="1" applyFill="1" applyBorder="1" applyAlignment="1">
      <alignment horizontal="right" vertical="top"/>
    </xf>
    <xf numFmtId="1" fontId="0" fillId="3" borderId="1" xfId="0" applyNumberFormat="1" applyFill="1" applyBorder="1" applyAlignment="1">
      <alignment horizontal="right" vertical="top"/>
    </xf>
    <xf numFmtId="0" fontId="1" fillId="3" borderId="1" xfId="1" applyFill="1" applyBorder="1" applyAlignment="1">
      <alignment horizontal="left" vertical="top"/>
    </xf>
    <xf numFmtId="165" fontId="0" fillId="3" borderId="1" xfId="0" applyNumberFormat="1" applyFill="1" applyBorder="1" applyAlignment="1">
      <alignment horizontal="right" vertical="top"/>
    </xf>
    <xf numFmtId="0" fontId="1" fillId="3" borderId="1" xfId="1" applyFill="1" applyBorder="1" applyAlignment="1">
      <alignment horizontal="left" vertical="top" wrapText="1"/>
    </xf>
    <xf numFmtId="0" fontId="0" fillId="3" borderId="3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1" fontId="2" fillId="3" borderId="1" xfId="0" applyNumberFormat="1" applyFont="1" applyFill="1" applyBorder="1" applyAlignment="1">
      <alignment horizontal="right" vertical="top"/>
    </xf>
    <xf numFmtId="1" fontId="3" fillId="3" borderId="1" xfId="0" applyNumberFormat="1" applyFon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3" fillId="3" borderId="9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3" borderId="3" xfId="0" applyFill="1" applyBorder="1" applyAlignment="1">
      <alignment horizontal="left" vertical="top" wrapText="1"/>
    </xf>
    <xf numFmtId="0" fontId="0" fillId="3" borderId="0" xfId="0" applyFill="1" applyBorder="1" applyAlignment="1">
      <alignment vertical="top"/>
    </xf>
    <xf numFmtId="0" fontId="5" fillId="2" borderId="12" xfId="0" applyFont="1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164" fontId="5" fillId="2" borderId="11" xfId="0" applyNumberFormat="1" applyFont="1" applyFill="1" applyBorder="1" applyAlignment="1">
      <alignment horizontal="right" vertical="center"/>
    </xf>
    <xf numFmtId="164" fontId="5" fillId="2" borderId="11" xfId="0" applyNumberFormat="1" applyFont="1" applyFill="1" applyBorder="1" applyAlignment="1">
      <alignment horizontal="left" vertical="center"/>
    </xf>
    <xf numFmtId="164" fontId="5" fillId="2" borderId="7" xfId="0" applyNumberFormat="1" applyFont="1" applyFill="1" applyBorder="1" applyAlignment="1">
      <alignment horizontal="left" vertical="center"/>
    </xf>
    <xf numFmtId="0" fontId="0" fillId="3" borderId="9" xfId="0" applyFill="1" applyBorder="1" applyAlignment="1">
      <alignment vertical="top"/>
    </xf>
    <xf numFmtId="0" fontId="0" fillId="3" borderId="2" xfId="0" applyFill="1" applyBorder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164" fontId="0" fillId="3" borderId="0" xfId="0" applyNumberFormat="1" applyFill="1" applyBorder="1" applyAlignment="1">
      <alignment horizontal="right" vertical="top"/>
    </xf>
    <xf numFmtId="1" fontId="0" fillId="3" borderId="0" xfId="0" applyNumberFormat="1" applyFill="1" applyBorder="1" applyAlignment="1">
      <alignment horizontal="right" vertical="top"/>
    </xf>
    <xf numFmtId="0" fontId="1" fillId="3" borderId="0" xfId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3" fillId="3" borderId="13" xfId="0" applyFont="1" applyFill="1" applyBorder="1" applyAlignment="1">
      <alignment vertical="top"/>
    </xf>
    <xf numFmtId="0" fontId="0" fillId="3" borderId="6" xfId="0" applyFill="1" applyBorder="1" applyAlignment="1">
      <alignment horizontal="left" vertical="top" wrapText="1"/>
    </xf>
    <xf numFmtId="0" fontId="3" fillId="3" borderId="0" xfId="0" applyFont="1" applyFill="1" applyBorder="1" applyAlignment="1">
      <alignment vertical="top"/>
    </xf>
    <xf numFmtId="0" fontId="3" fillId="3" borderId="13" xfId="0" applyFont="1" applyFill="1" applyBorder="1" applyAlignment="1">
      <alignment horizontal="left" vertical="top"/>
    </xf>
    <xf numFmtId="0" fontId="3" fillId="3" borderId="5" xfId="0" applyFont="1" applyFill="1" applyBorder="1" applyAlignment="1">
      <alignment horizontal="left" vertical="top"/>
    </xf>
    <xf numFmtId="1" fontId="3" fillId="3" borderId="10" xfId="0" applyNumberFormat="1" applyFont="1" applyFill="1" applyBorder="1" applyAlignment="1">
      <alignment horizontal="righ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lobalindustrial.com/p/blue-plastic-shopping-cart-5-2-cu-capacity?infoParam.campaignId=T9F&amp;gclid=CjwKCAjwwqaGBhBKEiwAMk-FtMP0kGJONGDmfKJ_MEitQpaJnulxnqvJehmEdAyCjq_pe6fSrl02cRoCjOsQAvD_BwE" TargetMode="External"/><Relationship Id="rId2" Type="http://schemas.openxmlformats.org/officeDocument/2006/relationships/hyperlink" Target="https://snapshot.numerator.com/retailer/meijer" TargetMode="External"/><Relationship Id="rId1" Type="http://schemas.openxmlformats.org/officeDocument/2006/relationships/hyperlink" Target="https://www.google.com/search?rlz=1C1OPNX_enUS939US939&amp;q=Meijer+revenue&amp;sa=X&amp;ved=2ahUKEwiBhprVipjxAhWVHc0KHdygCjoQ1QIwGXoECBgQAQ&amp;biw=1280&amp;bih=577&amp;dpr=1.5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napshot.numerator.com/retailer/meijer" TargetMode="External"/><Relationship Id="rId4" Type="http://schemas.openxmlformats.org/officeDocument/2006/relationships/hyperlink" Target="https://www.supermarketnews.com/retail-financial/meijer-opens-three-new-supercenters-ohio-india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BF3D-F0AD-4543-BDCA-506718E64AF2}">
  <dimension ref="A2:F13"/>
  <sheetViews>
    <sheetView tabSelected="1" workbookViewId="0">
      <selection activeCell="E18" sqref="E18"/>
    </sheetView>
  </sheetViews>
  <sheetFormatPr defaultRowHeight="14.5" x14ac:dyDescent="0.35"/>
  <cols>
    <col min="1" max="1" width="8.7265625" style="1"/>
    <col min="2" max="2" width="2.453125" style="1" customWidth="1"/>
    <col min="3" max="3" width="19.54296875" style="1" customWidth="1"/>
    <col min="4" max="4" width="15.453125" style="2" customWidth="1"/>
    <col min="5" max="5" width="20.90625" style="3" customWidth="1"/>
    <col min="6" max="6" width="49.26953125" style="4" customWidth="1"/>
    <col min="7" max="16384" width="8.7265625" style="1"/>
  </cols>
  <sheetData>
    <row r="2" spans="1:6" ht="20.5" customHeight="1" x14ac:dyDescent="0.35">
      <c r="A2" s="21"/>
      <c r="B2" s="22" t="s">
        <v>3</v>
      </c>
      <c r="C2" s="23"/>
      <c r="D2" s="24" t="s">
        <v>17</v>
      </c>
      <c r="E2" s="25" t="s">
        <v>4</v>
      </c>
      <c r="F2" s="26" t="s">
        <v>21</v>
      </c>
    </row>
    <row r="3" spans="1:6" x14ac:dyDescent="0.35">
      <c r="A3" s="21"/>
      <c r="B3" s="27" t="s">
        <v>0</v>
      </c>
      <c r="C3" s="11"/>
      <c r="D3" s="6">
        <v>18100000000</v>
      </c>
      <c r="E3" s="8" t="s">
        <v>5</v>
      </c>
      <c r="F3" s="12"/>
    </row>
    <row r="4" spans="1:6" x14ac:dyDescent="0.35">
      <c r="B4" s="27" t="s">
        <v>1</v>
      </c>
      <c r="C4" s="11"/>
      <c r="D4" s="9">
        <v>50.59</v>
      </c>
      <c r="E4" s="8" t="s">
        <v>6</v>
      </c>
      <c r="F4" s="12"/>
    </row>
    <row r="5" spans="1:6" ht="32.5" customHeight="1" x14ac:dyDescent="0.35">
      <c r="B5" s="27" t="s">
        <v>9</v>
      </c>
      <c r="C5" s="11"/>
      <c r="D5" s="6">
        <v>175</v>
      </c>
      <c r="E5" s="10" t="s">
        <v>10</v>
      </c>
      <c r="F5" s="28" t="s">
        <v>11</v>
      </c>
    </row>
    <row r="6" spans="1:6" x14ac:dyDescent="0.35">
      <c r="B6" s="27" t="s">
        <v>12</v>
      </c>
      <c r="C6" s="11"/>
      <c r="D6" s="7">
        <v>259</v>
      </c>
      <c r="E6" s="10" t="s">
        <v>16</v>
      </c>
      <c r="F6" s="28" t="s">
        <v>13</v>
      </c>
    </row>
    <row r="7" spans="1:6" ht="60.5" customHeight="1" x14ac:dyDescent="0.35">
      <c r="B7" s="29" t="s">
        <v>18</v>
      </c>
      <c r="C7" s="20"/>
      <c r="D7" s="15">
        <f>(((D3/D4)/52)*0.2)/259</f>
        <v>5313.0118360401029</v>
      </c>
      <c r="E7" s="8" t="s">
        <v>6</v>
      </c>
      <c r="F7" s="28" t="s">
        <v>19</v>
      </c>
    </row>
    <row r="8" spans="1:6" ht="27.5" customHeight="1" x14ac:dyDescent="0.35">
      <c r="B8" s="21"/>
      <c r="C8" s="21"/>
      <c r="D8" s="30"/>
      <c r="E8" s="31"/>
      <c r="F8" s="32"/>
    </row>
    <row r="9" spans="1:6" x14ac:dyDescent="0.35">
      <c r="B9" s="18" t="s">
        <v>2</v>
      </c>
      <c r="C9" s="18"/>
      <c r="D9" s="19"/>
      <c r="E9" s="13">
        <f>SUM(E10:E13)</f>
        <v>450</v>
      </c>
      <c r="F9" s="33" t="s">
        <v>20</v>
      </c>
    </row>
    <row r="10" spans="1:6" s="5" customFormat="1" ht="13" customHeight="1" x14ac:dyDescent="0.35">
      <c r="B10" s="34"/>
      <c r="C10" s="16" t="s">
        <v>7</v>
      </c>
      <c r="D10" s="17"/>
      <c r="E10" s="14">
        <v>195</v>
      </c>
      <c r="F10" s="35"/>
    </row>
    <row r="11" spans="1:6" s="5" customFormat="1" ht="13" customHeight="1" x14ac:dyDescent="0.35">
      <c r="B11" s="36"/>
      <c r="C11" s="16" t="s">
        <v>8</v>
      </c>
      <c r="D11" s="17"/>
      <c r="E11" s="14">
        <v>55</v>
      </c>
      <c r="F11" s="35"/>
    </row>
    <row r="12" spans="1:6" s="5" customFormat="1" ht="13" customHeight="1" x14ac:dyDescent="0.35">
      <c r="B12" s="36"/>
      <c r="C12" s="16" t="s">
        <v>14</v>
      </c>
      <c r="D12" s="17"/>
      <c r="E12" s="14">
        <v>145</v>
      </c>
      <c r="F12" s="35"/>
    </row>
    <row r="13" spans="1:6" s="5" customFormat="1" ht="13" customHeight="1" x14ac:dyDescent="0.35">
      <c r="B13" s="36"/>
      <c r="C13" s="37" t="s">
        <v>15</v>
      </c>
      <c r="D13" s="38"/>
      <c r="E13" s="39">
        <v>55</v>
      </c>
      <c r="F13" s="35"/>
    </row>
  </sheetData>
  <mergeCells count="7">
    <mergeCell ref="B7:C7"/>
    <mergeCell ref="F9:F13"/>
    <mergeCell ref="C10:D10"/>
    <mergeCell ref="C11:D11"/>
    <mergeCell ref="C12:D12"/>
    <mergeCell ref="C13:D13"/>
    <mergeCell ref="B9:D9"/>
  </mergeCells>
  <hyperlinks>
    <hyperlink ref="E3" r:id="rId1" xr:uid="{C11ABA69-9645-4FA1-AFF4-DB1AE4A759A9}"/>
    <hyperlink ref="E4" r:id="rId2" xr:uid="{40413238-85C7-4B86-9545-CA83ED7D350E}"/>
    <hyperlink ref="E5" r:id="rId3" xr:uid="{681F5708-137D-40B6-B7C0-C8764F63221B}"/>
    <hyperlink ref="E6" r:id="rId4" xr:uid="{0778A03D-5878-4078-A522-750E0CA09F4F}"/>
    <hyperlink ref="E7" r:id="rId5" xr:uid="{11B8954E-D801-42F7-BD12-2D59CD5F1816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Ken</cp:lastModifiedBy>
  <dcterms:created xsi:type="dcterms:W3CDTF">2021-06-16T19:56:54Z</dcterms:created>
  <dcterms:modified xsi:type="dcterms:W3CDTF">2021-06-19T03:01:12Z</dcterms:modified>
</cp:coreProperties>
</file>